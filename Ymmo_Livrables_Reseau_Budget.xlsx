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Adressage - Siège &amp; Tunnels" sheetId="1" state="visible" r:id="rId1"/>
    <sheet xmlns:r="http://schemas.openxmlformats.org/officeDocument/2006/relationships" name="Plan Adressage - 12 Agences" sheetId="2" state="visible" r:id="rId2"/>
    <sheet xmlns:r="http://schemas.openxmlformats.org/officeDocument/2006/relationships" name="Budget - Infrastructure Physiq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b val="1"/>
      <color rgb="00FFFFFF"/>
      <sz val="10"/>
    </font>
    <font>
      <name val="Segoe UI"/>
      <color rgb="00333333"/>
      <sz val="10"/>
    </font>
    <font>
      <name val="Segoe UI"/>
      <b val="1"/>
      <color rgb="002F5597"/>
      <sz val="12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  <fill>
      <patternFill patternType="solid">
        <fgColor rgb="00DDEBF7"/>
        <bgColor rgb="00DDEB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double">
        <color rgb="001F4E79"/>
      </bottom>
    </border>
    <border>
      <left/>
      <right/>
      <top style="thin">
        <color rgb="00BFBFBF"/>
      </top>
      <bottom/>
      <diagonal/>
    </border>
    <border>
      <left/>
      <right/>
      <top style="thin">
        <color rgb="00BFBFBF"/>
      </top>
      <bottom style="double">
        <color rgb="001F4E7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0" fillId="4" borderId="2" pivotButton="0" quotePrefix="0" xfId="0"/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4" customWidth="1" min="3" max="3"/>
    <col width="24" customWidth="1" min="4" max="4"/>
    <col width="22" customWidth="1" min="5" max="5"/>
    <col width="17" customWidth="1" min="6" max="6"/>
    <col width="36" customWidth="1" min="7" max="7"/>
  </cols>
  <sheetData>
    <row r="1"/>
    <row r="2" ht="25" customHeight="1">
      <c r="B2" s="1" t="inlineStr">
        <is>
          <t>Groupe Ymmo - Plan d'Adressage IP du Siège (Aix-en-Provence)</t>
        </is>
      </c>
    </row>
    <row r="3"/>
    <row r="4" ht="24" customHeight="1">
      <c r="B4" s="2" t="inlineStr">
        <is>
          <t>Nom du VLAN</t>
        </is>
      </c>
      <c r="C4" s="2" t="inlineStr">
        <is>
          <t>ID VLAN</t>
        </is>
      </c>
      <c r="D4" s="2" t="inlineStr">
        <is>
          <t>Adresse Réseau</t>
        </is>
      </c>
      <c r="E4" s="2" t="inlineStr">
        <is>
          <t>Masque (CIDR)</t>
        </is>
      </c>
      <c r="F4" s="2" t="inlineStr">
        <is>
          <t>Passerelle IP</t>
        </is>
      </c>
      <c r="G4" s="2" t="inlineStr">
        <is>
          <t>Plage DHCP / Attribution</t>
        </is>
      </c>
    </row>
    <row r="5" ht="20" customHeight="1">
      <c r="B5" s="3" t="inlineStr">
        <is>
          <t>VLAN_SERVEURS</t>
        </is>
      </c>
      <c r="C5" s="3" t="n">
        <v>10</v>
      </c>
      <c r="D5" s="3" t="inlineStr">
        <is>
          <t>10.0.10.0</t>
        </is>
      </c>
      <c r="E5" s="3" t="inlineStr">
        <is>
          <t>255.255.255.0 (/24)</t>
        </is>
      </c>
      <c r="F5" s="3" t="inlineStr">
        <is>
          <t>10.0.10.254</t>
        </is>
      </c>
      <c r="G5" s="4" t="inlineStr">
        <is>
          <t>IP Fixes (10.0.10.1 à 10.0.10.50)</t>
        </is>
      </c>
    </row>
    <row r="6" ht="20" customHeight="1">
      <c r="B6" s="5" t="inlineStr">
        <is>
          <t>VLAN_DIRECTION</t>
        </is>
      </c>
      <c r="C6" s="5" t="n">
        <v>20</v>
      </c>
      <c r="D6" s="5" t="inlineStr">
        <is>
          <t>10.0.20.0</t>
        </is>
      </c>
      <c r="E6" s="5" t="inlineStr">
        <is>
          <t>255.255.255.0 (/24)</t>
        </is>
      </c>
      <c r="F6" s="5" t="inlineStr">
        <is>
          <t>10.0.20.254</t>
        </is>
      </c>
      <c r="G6" s="6" t="inlineStr">
        <is>
          <t>DHCP : 10.0.20.10 à 10.0.20.100</t>
        </is>
      </c>
    </row>
    <row r="7" ht="20" customHeight="1">
      <c r="B7" s="3" t="inlineStr">
        <is>
          <t>VLAN_COMMERCIAL_SIEGE</t>
        </is>
      </c>
      <c r="C7" s="3" t="n">
        <v>30</v>
      </c>
      <c r="D7" s="3" t="inlineStr">
        <is>
          <t>10.0.30.0</t>
        </is>
      </c>
      <c r="E7" s="3" t="inlineStr">
        <is>
          <t>255.255.255.0 (/24)</t>
        </is>
      </c>
      <c r="F7" s="3" t="inlineStr">
        <is>
          <t>10.0.30.254</t>
        </is>
      </c>
      <c r="G7" s="4" t="inlineStr">
        <is>
          <t>DHCP : 10.0.30.10 à 10.0.30.100</t>
        </is>
      </c>
    </row>
    <row r="8" ht="20" customHeight="1">
      <c r="B8" s="5" t="inlineStr">
        <is>
          <t>VLAN_MARKETING_COM</t>
        </is>
      </c>
      <c r="C8" s="5" t="n">
        <v>40</v>
      </c>
      <c r="D8" s="5" t="inlineStr">
        <is>
          <t>10.0.40.0</t>
        </is>
      </c>
      <c r="E8" s="5" t="inlineStr">
        <is>
          <t>255.255.255.0 (/24)</t>
        </is>
      </c>
      <c r="F8" s="5" t="inlineStr">
        <is>
          <t>10.0.40.254</t>
        </is>
      </c>
      <c r="G8" s="6" t="inlineStr">
        <is>
          <t>DHCP : 10.0.40.10 à 10.0.40.100</t>
        </is>
      </c>
    </row>
    <row r="9" ht="20" customHeight="1">
      <c r="B9" s="3" t="inlineStr">
        <is>
          <t>VLAN_ADMIN_RH_JURIDIQUE</t>
        </is>
      </c>
      <c r="C9" s="3" t="n">
        <v>50</v>
      </c>
      <c r="D9" s="3" t="inlineStr">
        <is>
          <t>10.0.50.0</t>
        </is>
      </c>
      <c r="E9" s="3" t="inlineStr">
        <is>
          <t>255.255.255.0 (/24)</t>
        </is>
      </c>
      <c r="F9" s="3" t="inlineStr">
        <is>
          <t>10.0.50.254</t>
        </is>
      </c>
      <c r="G9" s="4" t="inlineStr">
        <is>
          <t>DHCP : 10.0.50.10 à 10.0.50.100</t>
        </is>
      </c>
    </row>
    <row r="10" ht="20" customHeight="1">
      <c r="B10" s="5" t="inlineStr">
        <is>
          <t>VLAN_IT_SUPPORT</t>
        </is>
      </c>
      <c r="C10" s="5" t="n">
        <v>60</v>
      </c>
      <c r="D10" s="5" t="inlineStr">
        <is>
          <t>10.0.60.0</t>
        </is>
      </c>
      <c r="E10" s="5" t="inlineStr">
        <is>
          <t>255.255.255.0 (/24)</t>
        </is>
      </c>
      <c r="F10" s="5" t="inlineStr">
        <is>
          <t>10.0.60.254</t>
        </is>
      </c>
      <c r="G10" s="6" t="inlineStr">
        <is>
          <t>DHCP : 10.0.60.10 à 10.0.60.100</t>
        </is>
      </c>
    </row>
    <row r="11" ht="20" customHeight="1">
      <c r="B11" s="3" t="inlineStr">
        <is>
          <t>VLAN_MANAGEMENT</t>
        </is>
      </c>
      <c r="C11" s="3" t="n">
        <v>99</v>
      </c>
      <c r="D11" s="3" t="inlineStr">
        <is>
          <t>10.0.99.0</t>
        </is>
      </c>
      <c r="E11" s="3" t="inlineStr">
        <is>
          <t>255.255.255.0 (/24)</t>
        </is>
      </c>
      <c r="F11" s="3" t="inlineStr">
        <is>
          <t>10.0.99.254</t>
        </is>
      </c>
      <c r="G11" s="4" t="inlineStr">
        <is>
          <t>IP Fixes Équipements Réseau</t>
        </is>
      </c>
    </row>
    <row r="12"/>
    <row r="13"/>
    <row r="14" ht="22" customHeight="1">
      <c r="B14" s="7" t="inlineStr">
        <is>
          <t>Interconnexions Tunnels VPN IPSec Point-à-Point</t>
        </is>
      </c>
    </row>
    <row r="15"/>
    <row r="16" ht="24" customHeight="1">
      <c r="B16" s="2" t="inlineStr">
        <is>
          <t>Liaison VPN</t>
        </is>
      </c>
      <c r="C16" s="2" t="inlineStr">
        <is>
          <t>Réseau Interconnexion</t>
        </is>
      </c>
      <c r="D16" s="2" t="inlineStr">
        <is>
          <t>Masque</t>
        </is>
      </c>
      <c r="E16" s="2" t="inlineStr">
        <is>
          <t>IP Côté Siège</t>
        </is>
      </c>
      <c r="F16" s="2" t="inlineStr">
        <is>
          <t>IP Côté Agence</t>
        </is>
      </c>
      <c r="G16" s="2" t="inlineStr">
        <is>
          <t>Type de Flux</t>
        </is>
      </c>
    </row>
    <row r="17" ht="18" customHeight="1">
      <c r="B17" s="4" t="inlineStr">
        <is>
          <t>Siège &lt;-&gt; Agence 1</t>
        </is>
      </c>
      <c r="C17" s="3" t="inlineStr">
        <is>
          <t>10.255.1.0</t>
        </is>
      </c>
      <c r="D17" s="3" t="inlineStr">
        <is>
          <t>255.255.255.252 (/30)</t>
        </is>
      </c>
      <c r="E17" s="3" t="inlineStr">
        <is>
          <t>10.255.1.1</t>
        </is>
      </c>
      <c r="F17" s="3" t="inlineStr">
        <is>
          <t>10.255.1.2</t>
        </is>
      </c>
      <c r="G17" s="4" t="inlineStr">
        <is>
          <t>Chiffré IPSec AES-256</t>
        </is>
      </c>
    </row>
    <row r="18" ht="18" customHeight="1">
      <c r="B18" s="6" t="inlineStr">
        <is>
          <t>Siège &lt;-&gt; Agence 2</t>
        </is>
      </c>
      <c r="C18" s="5" t="inlineStr">
        <is>
          <t>10.255.1.4</t>
        </is>
      </c>
      <c r="D18" s="5" t="inlineStr">
        <is>
          <t>255.255.255.252 (/30)</t>
        </is>
      </c>
      <c r="E18" s="5" t="inlineStr">
        <is>
          <t>10.255.1.5</t>
        </is>
      </c>
      <c r="F18" s="5" t="inlineStr">
        <is>
          <t>10.255.1.6</t>
        </is>
      </c>
      <c r="G18" s="6" t="inlineStr">
        <is>
          <t>Chiffré IPSec AES-256</t>
        </is>
      </c>
    </row>
    <row r="19" ht="18" customHeight="1">
      <c r="B19" s="4" t="inlineStr">
        <is>
          <t>Siège &lt;-&gt; Agence 3</t>
        </is>
      </c>
      <c r="C19" s="3" t="inlineStr">
        <is>
          <t>10.255.1.8</t>
        </is>
      </c>
      <c r="D19" s="3" t="inlineStr">
        <is>
          <t>255.255.255.252 (/30)</t>
        </is>
      </c>
      <c r="E19" s="3" t="inlineStr">
        <is>
          <t>10.255.1.9</t>
        </is>
      </c>
      <c r="F19" s="3" t="inlineStr">
        <is>
          <t>10.255.1.10</t>
        </is>
      </c>
      <c r="G19" s="4" t="inlineStr">
        <is>
          <t>Chiffré IPSec AES-256</t>
        </is>
      </c>
    </row>
    <row r="20" ht="18" customHeight="1">
      <c r="B20" s="6" t="inlineStr">
        <is>
          <t>Siège &lt;-&gt; Agence 4</t>
        </is>
      </c>
      <c r="C20" s="5" t="inlineStr">
        <is>
          <t>10.255.1.12</t>
        </is>
      </c>
      <c r="D20" s="5" t="inlineStr">
        <is>
          <t>255.255.255.252 (/30)</t>
        </is>
      </c>
      <c r="E20" s="5" t="inlineStr">
        <is>
          <t>10.255.1.13</t>
        </is>
      </c>
      <c r="F20" s="5" t="inlineStr">
        <is>
          <t>10.255.1.14</t>
        </is>
      </c>
      <c r="G20" s="6" t="inlineStr">
        <is>
          <t>Chiffré IPSec AES-256</t>
        </is>
      </c>
    </row>
    <row r="21" ht="18" customHeight="1">
      <c r="B21" s="4" t="inlineStr">
        <is>
          <t>Siège &lt;-&gt; Agence 5</t>
        </is>
      </c>
      <c r="C21" s="3" t="inlineStr">
        <is>
          <t>10.255.1.16</t>
        </is>
      </c>
      <c r="D21" s="3" t="inlineStr">
        <is>
          <t>255.255.255.252 (/30)</t>
        </is>
      </c>
      <c r="E21" s="3" t="inlineStr">
        <is>
          <t>10.255.1.17</t>
        </is>
      </c>
      <c r="F21" s="3" t="inlineStr">
        <is>
          <t>10.255.1.14</t>
        </is>
      </c>
      <c r="G21" s="4" t="inlineStr">
        <is>
          <t>Chiffré IPSec AES-256</t>
        </is>
      </c>
    </row>
    <row r="22" ht="18" customHeight="1">
      <c r="B22" s="6" t="inlineStr">
        <is>
          <t>Siège &lt;-&gt; Agence 6</t>
        </is>
      </c>
      <c r="C22" s="5" t="inlineStr">
        <is>
          <t>10.255.1.20</t>
        </is>
      </c>
      <c r="D22" s="5" t="inlineStr">
        <is>
          <t>255.255.255.252 (/30)</t>
        </is>
      </c>
      <c r="E22" s="5" t="inlineStr">
        <is>
          <t>10.255.1.21</t>
        </is>
      </c>
      <c r="F22" s="5" t="inlineStr">
        <is>
          <t>10.255.1.22</t>
        </is>
      </c>
      <c r="G22" s="6" t="inlineStr">
        <is>
          <t>Chiffré IPSec AES-256</t>
        </is>
      </c>
    </row>
    <row r="23" ht="18" customHeight="1">
      <c r="B23" s="4" t="inlineStr">
        <is>
          <t>Siège &lt;-&gt; Agence 7</t>
        </is>
      </c>
      <c r="C23" s="3" t="inlineStr">
        <is>
          <t>10.255.1.24</t>
        </is>
      </c>
      <c r="D23" s="3" t="inlineStr">
        <is>
          <t>255.255.255.252 (/30)</t>
        </is>
      </c>
      <c r="E23" s="3" t="inlineStr">
        <is>
          <t>10.255.1.25</t>
        </is>
      </c>
      <c r="F23" s="3" t="inlineStr">
        <is>
          <t>10.255.1.26</t>
        </is>
      </c>
      <c r="G23" s="4" t="inlineStr">
        <is>
          <t>Chiffré IPSec AES-256</t>
        </is>
      </c>
    </row>
    <row r="24" ht="18" customHeight="1">
      <c r="B24" s="6" t="inlineStr">
        <is>
          <t>Siège &lt;-&gt; Agence 8</t>
        </is>
      </c>
      <c r="C24" s="5" t="inlineStr">
        <is>
          <t>10.255.1.28</t>
        </is>
      </c>
      <c r="D24" s="5" t="inlineStr">
        <is>
          <t>255.255.255.252 (/30)</t>
        </is>
      </c>
      <c r="E24" s="5" t="inlineStr">
        <is>
          <t>10.255.1.29</t>
        </is>
      </c>
      <c r="F24" s="5" t="inlineStr">
        <is>
          <t>10.255.1.30</t>
        </is>
      </c>
      <c r="G24" s="6" t="inlineStr">
        <is>
          <t>Chiffré IPSec AES-256</t>
        </is>
      </c>
    </row>
    <row r="25" ht="18" customHeight="1">
      <c r="B25" s="4" t="inlineStr">
        <is>
          <t>Siège &lt;-&gt; Agence 9</t>
        </is>
      </c>
      <c r="C25" s="3" t="inlineStr">
        <is>
          <t>10.255.1.32</t>
        </is>
      </c>
      <c r="D25" s="3" t="inlineStr">
        <is>
          <t>255.255.255.252 (/30)</t>
        </is>
      </c>
      <c r="E25" s="3" t="inlineStr">
        <is>
          <t>10.255.1.33</t>
        </is>
      </c>
      <c r="F25" s="3" t="inlineStr">
        <is>
          <t>10.255.1.34</t>
        </is>
      </c>
      <c r="G25" s="4" t="inlineStr">
        <is>
          <t>Chiffré IPSec AES-256</t>
        </is>
      </c>
    </row>
    <row r="26" ht="18" customHeight="1">
      <c r="B26" s="6" t="inlineStr">
        <is>
          <t>Siège &lt;-&gt; Agence 10</t>
        </is>
      </c>
      <c r="C26" s="5" t="inlineStr">
        <is>
          <t>10.255.1.36</t>
        </is>
      </c>
      <c r="D26" s="5" t="inlineStr">
        <is>
          <t>255.255.255.252 (/30)</t>
        </is>
      </c>
      <c r="E26" s="5" t="inlineStr">
        <is>
          <t>10.255.1.37</t>
        </is>
      </c>
      <c r="F26" s="5" t="inlineStr">
        <is>
          <t>10.255.1.38</t>
        </is>
      </c>
      <c r="G26" s="6" t="inlineStr">
        <is>
          <t>Chiffré IPSec AES-256</t>
        </is>
      </c>
    </row>
    <row r="27" ht="18" customHeight="1">
      <c r="B27" s="4" t="inlineStr">
        <is>
          <t>Siège &lt;-&gt; Agence 11</t>
        </is>
      </c>
      <c r="C27" s="3" t="inlineStr">
        <is>
          <t>10.255.1.40</t>
        </is>
      </c>
      <c r="D27" s="3" t="inlineStr">
        <is>
          <t>255.255.255.252 (/30)</t>
        </is>
      </c>
      <c r="E27" s="3" t="inlineStr">
        <is>
          <t>10.255.1.41</t>
        </is>
      </c>
      <c r="F27" s="3" t="inlineStr">
        <is>
          <t>10.255.1.42</t>
        </is>
      </c>
      <c r="G27" s="4" t="inlineStr">
        <is>
          <t>Chiffré IPSec AES-256</t>
        </is>
      </c>
    </row>
    <row r="28" ht="18" customHeight="1">
      <c r="B28" s="6" t="inlineStr">
        <is>
          <t>Siège &lt;-&gt; Agence 12</t>
        </is>
      </c>
      <c r="C28" s="5" t="inlineStr">
        <is>
          <t>10.255.1.44</t>
        </is>
      </c>
      <c r="D28" s="5" t="inlineStr">
        <is>
          <t>255.255.255.252 (/30)</t>
        </is>
      </c>
      <c r="E28" s="5" t="inlineStr">
        <is>
          <t>10.255.1.45</t>
        </is>
      </c>
      <c r="F28" s="5" t="inlineStr">
        <is>
          <t>10.255.1.46</t>
        </is>
      </c>
      <c r="G28" s="6" t="inlineStr">
        <is>
          <t>Chiffré IPSec AES-256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4" customWidth="1" min="4" max="4"/>
    <col width="29" customWidth="1" min="5" max="5"/>
    <col width="21" customWidth="1" min="6" max="6"/>
    <col width="41" customWidth="1" min="7" max="7"/>
  </cols>
  <sheetData>
    <row r="1"/>
    <row r="2" ht="25" customHeight="1">
      <c r="B2" s="1" t="inlineStr">
        <is>
          <t>Groupe Ymmo - Plan d'Adressage IP des 12 Agences Satellites</t>
        </is>
      </c>
    </row>
    <row r="3"/>
    <row r="4" ht="24" customHeight="1">
      <c r="B4" s="2" t="inlineStr">
        <is>
          <t>Nom du Site</t>
        </is>
      </c>
      <c r="C4" s="2" t="inlineStr">
        <is>
          <t>Adresse Réseau</t>
        </is>
      </c>
      <c r="D4" s="2" t="inlineStr">
        <is>
          <t>Masque de sous-réseau</t>
        </is>
      </c>
      <c r="E4" s="2" t="inlineStr">
        <is>
          <t>Passerelle (Routeur Local)</t>
        </is>
      </c>
      <c r="F4" s="2" t="inlineStr">
        <is>
          <t>IP Fixe Imprimante</t>
        </is>
      </c>
      <c r="G4" s="2" t="inlineStr">
        <is>
          <t>Plage DHCP Active (Postes Commerciaux)</t>
        </is>
      </c>
    </row>
    <row r="5" ht="20" customHeight="1">
      <c r="B5" s="4" t="inlineStr">
        <is>
          <t>Agence 1</t>
        </is>
      </c>
      <c r="C5" s="3" t="inlineStr">
        <is>
          <t>10.1.0.0</t>
        </is>
      </c>
      <c r="D5" s="3" t="inlineStr">
        <is>
          <t>255.255.255.0 (/24)</t>
        </is>
      </c>
      <c r="E5" s="3" t="inlineStr">
        <is>
          <t>10.1.0.254</t>
        </is>
      </c>
      <c r="F5" s="3" t="inlineStr">
        <is>
          <t>10.1.0.5</t>
        </is>
      </c>
      <c r="G5" s="4" t="inlineStr">
        <is>
          <t>10.1.0.10 à 10.1.0.50</t>
        </is>
      </c>
    </row>
    <row r="6" ht="20" customHeight="1">
      <c r="B6" s="6" t="inlineStr">
        <is>
          <t>Agence 2</t>
        </is>
      </c>
      <c r="C6" s="5" t="inlineStr">
        <is>
          <t>10.2.0.0</t>
        </is>
      </c>
      <c r="D6" s="5" t="inlineStr">
        <is>
          <t>255.255.255.0 (/24)</t>
        </is>
      </c>
      <c r="E6" s="5" t="inlineStr">
        <is>
          <t>10.2.0.254</t>
        </is>
      </c>
      <c r="F6" s="5" t="inlineStr">
        <is>
          <t>10.2.0.5</t>
        </is>
      </c>
      <c r="G6" s="6" t="inlineStr">
        <is>
          <t>10.2.0.10 à 10.2.0.50</t>
        </is>
      </c>
    </row>
    <row r="7" ht="20" customHeight="1">
      <c r="B7" s="4" t="inlineStr">
        <is>
          <t>Agence 3</t>
        </is>
      </c>
      <c r="C7" s="3" t="inlineStr">
        <is>
          <t>10.3.0.0</t>
        </is>
      </c>
      <c r="D7" s="3" t="inlineStr">
        <is>
          <t>255.255.255.0 (/24)</t>
        </is>
      </c>
      <c r="E7" s="3" t="inlineStr">
        <is>
          <t>10.3.0.254</t>
        </is>
      </c>
      <c r="F7" s="3" t="inlineStr">
        <is>
          <t>10.3.0.5</t>
        </is>
      </c>
      <c r="G7" s="4" t="inlineStr">
        <is>
          <t>10.3.0.10 à 10.3.0.50</t>
        </is>
      </c>
    </row>
    <row r="8" ht="20" customHeight="1">
      <c r="B8" s="6" t="inlineStr">
        <is>
          <t>Agence 4</t>
        </is>
      </c>
      <c r="C8" s="5" t="inlineStr">
        <is>
          <t>10.4.0.0</t>
        </is>
      </c>
      <c r="D8" s="5" t="inlineStr">
        <is>
          <t>255.255.255.0 (/24)</t>
        </is>
      </c>
      <c r="E8" s="5" t="inlineStr">
        <is>
          <t>10.4.0.254</t>
        </is>
      </c>
      <c r="F8" s="5" t="inlineStr">
        <is>
          <t>10.4.0.5</t>
        </is>
      </c>
      <c r="G8" s="6" t="inlineStr">
        <is>
          <t>10.4.0.10 à 10.4.0.50</t>
        </is>
      </c>
    </row>
    <row r="9" ht="20" customHeight="1">
      <c r="B9" s="4" t="inlineStr">
        <is>
          <t>Agence 5</t>
        </is>
      </c>
      <c r="C9" s="3" t="inlineStr">
        <is>
          <t>10.5.0.0</t>
        </is>
      </c>
      <c r="D9" s="3" t="inlineStr">
        <is>
          <t>255.255.255.0 (/24)</t>
        </is>
      </c>
      <c r="E9" s="3" t="inlineStr">
        <is>
          <t>10.5.0.254</t>
        </is>
      </c>
      <c r="F9" s="3" t="inlineStr">
        <is>
          <t>10.5.0.5</t>
        </is>
      </c>
      <c r="G9" s="4" t="inlineStr">
        <is>
          <t>10.5.0.10 à 10.5.0.50</t>
        </is>
      </c>
    </row>
    <row r="10" ht="20" customHeight="1">
      <c r="B10" s="6" t="inlineStr">
        <is>
          <t>Agence 6</t>
        </is>
      </c>
      <c r="C10" s="5" t="inlineStr">
        <is>
          <t>10.6.0.0</t>
        </is>
      </c>
      <c r="D10" s="5" t="inlineStr">
        <is>
          <t>255.255.255.0 (/24)</t>
        </is>
      </c>
      <c r="E10" s="5" t="inlineStr">
        <is>
          <t>10.6.0.254</t>
        </is>
      </c>
      <c r="F10" s="5" t="inlineStr">
        <is>
          <t>10.6.0.5</t>
        </is>
      </c>
      <c r="G10" s="6" t="inlineStr">
        <is>
          <t>10.6.0.10 à 10.6.0.50</t>
        </is>
      </c>
    </row>
    <row r="11" ht="20" customHeight="1">
      <c r="B11" s="4" t="inlineStr">
        <is>
          <t>Agence 7</t>
        </is>
      </c>
      <c r="C11" s="3" t="inlineStr">
        <is>
          <t>10.7.0.0</t>
        </is>
      </c>
      <c r="D11" s="3" t="inlineStr">
        <is>
          <t>255.255.255.0 (/24)</t>
        </is>
      </c>
      <c r="E11" s="3" t="inlineStr">
        <is>
          <t>10.7.0.254</t>
        </is>
      </c>
      <c r="F11" s="3" t="inlineStr">
        <is>
          <t>10.7.0.5</t>
        </is>
      </c>
      <c r="G11" s="4" t="inlineStr">
        <is>
          <t>10.7.0.10 à 10.7.0.50</t>
        </is>
      </c>
    </row>
    <row r="12" ht="20" customHeight="1">
      <c r="B12" s="6" t="inlineStr">
        <is>
          <t>Agence 8</t>
        </is>
      </c>
      <c r="C12" s="5" t="inlineStr">
        <is>
          <t>10.8.0.0</t>
        </is>
      </c>
      <c r="D12" s="5" t="inlineStr">
        <is>
          <t>255.255.255.0 (/24)</t>
        </is>
      </c>
      <c r="E12" s="5" t="inlineStr">
        <is>
          <t>10.8.0.254</t>
        </is>
      </c>
      <c r="F12" s="5" t="inlineStr">
        <is>
          <t>10.8.0.5</t>
        </is>
      </c>
      <c r="G12" s="6" t="inlineStr">
        <is>
          <t>10.8.0.10 à 10.8.0.50</t>
        </is>
      </c>
    </row>
    <row r="13" ht="20" customHeight="1">
      <c r="B13" s="4" t="inlineStr">
        <is>
          <t>Agence 9</t>
        </is>
      </c>
      <c r="C13" s="3" t="inlineStr">
        <is>
          <t>10.9.0.0</t>
        </is>
      </c>
      <c r="D13" s="3" t="inlineStr">
        <is>
          <t>255.255.255.0 (/24)</t>
        </is>
      </c>
      <c r="E13" s="3" t="inlineStr">
        <is>
          <t>10.9.0.254</t>
        </is>
      </c>
      <c r="F13" s="3" t="inlineStr">
        <is>
          <t>10.9.0.5</t>
        </is>
      </c>
      <c r="G13" s="4" t="inlineStr">
        <is>
          <t>10.9.0.10 à 10.9.0.50</t>
        </is>
      </c>
    </row>
    <row r="14" ht="20" customHeight="1">
      <c r="B14" s="6" t="inlineStr">
        <is>
          <t>Agence 10</t>
        </is>
      </c>
      <c r="C14" s="5" t="inlineStr">
        <is>
          <t>10.10.0.0</t>
        </is>
      </c>
      <c r="D14" s="5" t="inlineStr">
        <is>
          <t>255.255.255.0 (/24)</t>
        </is>
      </c>
      <c r="E14" s="5" t="inlineStr">
        <is>
          <t>10.10.0.254</t>
        </is>
      </c>
      <c r="F14" s="5" t="inlineStr">
        <is>
          <t>10.10.0.5</t>
        </is>
      </c>
      <c r="G14" s="6" t="inlineStr">
        <is>
          <t>10.10.0.10 à 10.10.0.50</t>
        </is>
      </c>
    </row>
    <row r="15" ht="20" customHeight="1">
      <c r="B15" s="4" t="inlineStr">
        <is>
          <t>Agence 11</t>
        </is>
      </c>
      <c r="C15" s="3" t="inlineStr">
        <is>
          <t>10.11.0.0</t>
        </is>
      </c>
      <c r="D15" s="3" t="inlineStr">
        <is>
          <t>255.255.255.0 (/24)</t>
        </is>
      </c>
      <c r="E15" s="3" t="inlineStr">
        <is>
          <t>10.11.0.254</t>
        </is>
      </c>
      <c r="F15" s="3" t="inlineStr">
        <is>
          <t>10.11.0.5</t>
        </is>
      </c>
      <c r="G15" s="4" t="inlineStr">
        <is>
          <t>10.11.0.10 à 10.11.0.50</t>
        </is>
      </c>
    </row>
    <row r="16" ht="20" customHeight="1">
      <c r="B16" s="6" t="inlineStr">
        <is>
          <t>Agence 12</t>
        </is>
      </c>
      <c r="C16" s="5" t="inlineStr">
        <is>
          <t>10.12.0.0</t>
        </is>
      </c>
      <c r="D16" s="5" t="inlineStr">
        <is>
          <t>255.255.255.0 (/24)</t>
        </is>
      </c>
      <c r="E16" s="5" t="inlineStr">
        <is>
          <t>10.12.0.254</t>
        </is>
      </c>
      <c r="F16" s="5" t="inlineStr">
        <is>
          <t>10.12.0.5</t>
        </is>
      </c>
      <c r="G16" s="6" t="inlineStr">
        <is>
          <t>10.12.0.10 à 10.12.0.50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92" customWidth="1" min="3" max="3"/>
    <col width="12" customWidth="1" min="4" max="4"/>
    <col width="19" customWidth="1" min="5" max="5"/>
    <col width="16" customWidth="1" min="6" max="6"/>
  </cols>
  <sheetData>
    <row r="1"/>
    <row r="2" ht="25" customHeight="1">
      <c r="B2" s="1" t="inlineStr">
        <is>
          <t>Groupe Ymmo - Estimation Budgétaire du Matériel Physique</t>
        </is>
      </c>
    </row>
    <row r="3"/>
    <row r="4" ht="24" customHeight="1">
      <c r="B4" s="2" t="inlineStr">
        <is>
          <t>Équipement Matériel</t>
        </is>
      </c>
      <c r="C4" s="2" t="inlineStr">
        <is>
          <t>Spécifications Techniques Recommandées</t>
        </is>
      </c>
      <c r="D4" s="2" t="inlineStr">
        <is>
          <t>Quantité</t>
        </is>
      </c>
      <c r="E4" s="2" t="inlineStr">
        <is>
          <t>Prix Unitaire HT</t>
        </is>
      </c>
      <c r="F4" s="2" t="inlineStr">
        <is>
          <t>Prix Total HT</t>
        </is>
      </c>
    </row>
    <row r="5" ht="22" customHeight="1">
      <c r="B5" s="4" t="inlineStr">
        <is>
          <t>Serveurs Physiques (Siège)</t>
        </is>
      </c>
      <c r="C5" s="4" t="inlineStr">
        <is>
          <t>Dell PowerEdge R450 (Xeon Intel Silver, 64 Go RAM, 4x 1.2 To SAS RAID 5, Alim redondante)</t>
        </is>
      </c>
      <c r="D5" s="8" t="n">
        <v>2</v>
      </c>
      <c r="E5" s="9" t="n">
        <v>4500</v>
      </c>
      <c r="F5" s="9">
        <f>D5*E5</f>
        <v/>
      </c>
    </row>
    <row r="6" ht="22" customHeight="1">
      <c r="B6" s="6" t="inlineStr">
        <is>
          <t>Pare-feu / Routeur Principal (Siège)</t>
        </is>
      </c>
      <c r="C6" s="6" t="inlineStr">
        <is>
          <t>Fortinet FortiGate 100F (Haute Disponibilité, Débit VPN élevé, Inspection UTM)</t>
        </is>
      </c>
      <c r="D6" s="10" t="n">
        <v>1</v>
      </c>
      <c r="E6" s="11" t="n">
        <v>2800</v>
      </c>
      <c r="F6" s="11">
        <f>D6*E6</f>
        <v/>
      </c>
    </row>
    <row r="7" ht="22" customHeight="1">
      <c r="B7" s="4" t="inlineStr">
        <is>
          <t>Pare-feu / Routeurs Agences</t>
        </is>
      </c>
      <c r="C7" s="4" t="inlineStr">
        <is>
          <t>Fortinet FortiGate 40F (Idéal sites distants &lt; 10 utilisateurs, IPSec matériel)</t>
        </is>
      </c>
      <c r="D7" s="8" t="n">
        <v>12</v>
      </c>
      <c r="E7" s="9" t="n">
        <v>450</v>
      </c>
      <c r="F7" s="9">
        <f>D7*E7</f>
        <v/>
      </c>
    </row>
    <row r="8" ht="22" customHeight="1">
      <c r="B8" s="6" t="inlineStr">
        <is>
          <t>Switch Principal (Siège)</t>
        </is>
      </c>
      <c r="C8" s="6" t="inlineStr">
        <is>
          <t>Cisco Catalyst 2960X (48 ports Gigabit, Support VLAN complet, Niveau 3 statique)</t>
        </is>
      </c>
      <c r="D8" s="10" t="n">
        <v>1</v>
      </c>
      <c r="E8" s="11" t="n">
        <v>1800</v>
      </c>
      <c r="F8" s="11">
        <f>D8*E8</f>
        <v/>
      </c>
    </row>
    <row r="9" ht="22" customHeight="1">
      <c r="B9" s="4" t="inlineStr">
        <is>
          <t>Switchs Agences</t>
        </is>
      </c>
      <c r="C9" s="4" t="inlineStr">
        <is>
          <t>Cisco SG250-10P (10 ports Gigabit dont PoE pour imprimante ou VoIP)</t>
        </is>
      </c>
      <c r="D9" s="8" t="n">
        <v>12</v>
      </c>
      <c r="E9" s="9" t="n">
        <v>250</v>
      </c>
      <c r="F9" s="9">
        <f>D9*E9</f>
        <v/>
      </c>
    </row>
    <row r="10" ht="22" customHeight="1">
      <c r="B10" s="6" t="inlineStr">
        <is>
          <t>Onduleur Baie (UPS - Siège)</t>
        </is>
      </c>
      <c r="C10" s="6" t="inlineStr">
        <is>
          <t>APC Smart-UPS 2200VA (Maintien de la baie serveurs pendant 30 minutes en cas de coupure)</t>
        </is>
      </c>
      <c r="D10" s="10" t="n">
        <v>1</v>
      </c>
      <c r="E10" s="11" t="n">
        <v>950</v>
      </c>
      <c r="F10" s="11">
        <f>D10*E10</f>
        <v/>
      </c>
    </row>
    <row r="11" ht="22" customHeight="1">
      <c r="B11" s="4" t="inlineStr">
        <is>
          <t>Postes Utilisateurs (Siège &amp; Agences)</t>
        </is>
      </c>
      <c r="C11" s="4" t="inlineStr">
        <is>
          <t>PC Portable HP ProBook (Intel i5, 16 Go RAM, 512 Go SSD, Win 11 Pro)</t>
        </is>
      </c>
      <c r="D11" s="8" t="n">
        <v>90</v>
      </c>
      <c r="E11" s="9" t="n">
        <v>800</v>
      </c>
      <c r="F11" s="9">
        <f>D11*E11</f>
        <v/>
      </c>
    </row>
    <row r="12" ht="22" customHeight="1">
      <c r="B12" s="6" t="inlineStr">
        <is>
          <t>Périphériques Bureau (Packs Pro)</t>
        </is>
      </c>
      <c r="C12" s="6" t="inlineStr">
        <is>
          <t>Pack Écran 24" Full HD Dell + Clavier filaire + Souris optique USB</t>
        </is>
      </c>
      <c r="D12" s="10" t="n">
        <v>90</v>
      </c>
      <c r="E12" s="11" t="n">
        <v>150</v>
      </c>
      <c r="F12" s="11">
        <f>D12*E12</f>
        <v/>
      </c>
    </row>
    <row r="13" ht="22" customHeight="1">
      <c r="B13" s="4" t="inlineStr">
        <is>
          <t>Imprimantes Réseau</t>
        </is>
      </c>
      <c r="C13" s="4" t="inlineStr">
        <is>
          <t>Imprimante Laser Professionnelle Multifonction Recto/Verso A4/A3 (1 Siège / 12 Agences)</t>
        </is>
      </c>
      <c r="D13" s="8" t="n">
        <v>13</v>
      </c>
      <c r="E13" s="9" t="n">
        <v>600</v>
      </c>
      <c r="F13" s="9">
        <f>D13*E13</f>
        <v/>
      </c>
    </row>
    <row r="14" ht="26" customHeight="1">
      <c r="B14" s="12" t="inlineStr">
        <is>
          <t>BUDGET TOTAL ESTIMÉ POUR L'INFRASTRUCTURE PHYSIQUE</t>
        </is>
      </c>
      <c r="C14" s="13" t="n"/>
      <c r="D14" s="13" t="n"/>
      <c r="E14" s="13" t="n"/>
      <c r="F14" s="14">
        <f>SUM(F5:F13)</f>
        <v/>
      </c>
    </row>
  </sheetData>
  <mergeCells count="1"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2026-06-08T13:21:41Z</dcterms:created>
  <dcterms:modified xmlns:dcterms="http://purl.org/dc/terms/" xmlns:xsi="http://www.w3.org/2001/XMLSchema-instance" xsi:type="dcterms:W3CDTF">2026-06-08T13:21:41Z</dcterms:modified>
</cp:coreProperties>
</file>